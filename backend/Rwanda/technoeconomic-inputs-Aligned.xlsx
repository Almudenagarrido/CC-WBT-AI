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duen\Documents\GitHub\pre-ICCPT\CC-WBT\backend\Rwanda\"/>
    </mc:Choice>
  </mc:AlternateContent>
  <xr:revisionPtr revIDLastSave="0" documentId="13_ncr:1_{B32ABF18-016C-4A2F-8E13-31B8053C754B}" xr6:coauthVersionLast="47" xr6:coauthVersionMax="47" xr10:uidLastSave="{00000000-0000-0000-0000-000000000000}"/>
  <bookViews>
    <workbookView xWindow="-108" yWindow="-108" windowWidth="30936" windowHeight="18696" xr2:uid="{00000000-000D-0000-FFFF-FFFF00000000}"/>
  </bookViews>
  <sheets>
    <sheet name="LPG" sheetId="1" r:id="rId1"/>
    <sheet name="Electricity &amp; E-Cooking" sheetId="2" r:id="rId2"/>
    <sheet name="Electricity (Low access)" sheetId="3" r:id="rId3"/>
  </sheet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2" l="1"/>
  <c r="F20" i="2"/>
  <c r="G20" i="2"/>
  <c r="H20" i="2"/>
  <c r="I20" i="2"/>
  <c r="J20" i="2"/>
  <c r="K20" i="2"/>
  <c r="L20" i="2"/>
  <c r="M20" i="2"/>
  <c r="N20" i="2"/>
  <c r="O20" i="2"/>
  <c r="D20" i="2"/>
  <c r="E19" i="2"/>
  <c r="F19" i="2"/>
  <c r="G19" i="2"/>
  <c r="H19" i="2"/>
  <c r="I19" i="2"/>
  <c r="J19" i="2"/>
  <c r="K19" i="2"/>
  <c r="L19" i="2"/>
  <c r="M19" i="2"/>
  <c r="N19" i="2"/>
  <c r="O19" i="2"/>
  <c r="D19" i="2"/>
  <c r="F18" i="2"/>
  <c r="G18" i="2"/>
  <c r="H18" i="2"/>
  <c r="I18" i="2"/>
  <c r="J18" i="2"/>
  <c r="K18" i="2"/>
  <c r="L18" i="2"/>
  <c r="M18" i="2"/>
  <c r="N18" i="2"/>
  <c r="O18" i="2"/>
  <c r="E18" i="2"/>
</calcChain>
</file>

<file path=xl/sharedStrings.xml><?xml version="1.0" encoding="utf-8"?>
<sst xmlns="http://schemas.openxmlformats.org/spreadsheetml/2006/main" count="152" uniqueCount="16">
  <si>
    <t>Inputs</t>
  </si>
  <si>
    <t>Units</t>
  </si>
  <si>
    <t>Demand</t>
  </si>
  <si>
    <t>kWh</t>
  </si>
  <si>
    <t>Outputs</t>
  </si>
  <si>
    <t>-</t>
  </si>
  <si>
    <t>CAPEX - Growth</t>
  </si>
  <si>
    <t>M$</t>
  </si>
  <si>
    <t>CAPEX - Maintenance</t>
  </si>
  <si>
    <t>OPEX</t>
  </si>
  <si>
    <t>D&amp;A</t>
  </si>
  <si>
    <t>years</t>
  </si>
  <si>
    <t>Type - Inputs</t>
  </si>
  <si>
    <t>GRID</t>
  </si>
  <si>
    <t>OFF-GRID</t>
  </si>
  <si>
    <t xml:space="preserve"> OFF-GRID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</si>
</sst>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 tint="0.499984740745262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/>
  </cellStyleXfs>
  <cellXfs count="22">
    <xf numFmtId="0" fontId="0" fillId="0" borderId="0" xfId="0"/>
    <xf numFmtId="3" fontId="3" fillId="3" borderId="1" xfId="0" applyNumberFormat="1" applyFont="1" applyFill="1" applyBorder="1" applyAlignment="1">
      <alignment horizontal="left" vertical="center"/>
    </xf>
    <xf numFmtId="3" fontId="3" fillId="0" borderId="1" xfId="0" applyNumberFormat="1" applyFont="1" applyBorder="1" applyAlignment="1">
      <alignment horizontal="left" vertical="center"/>
    </xf>
    <xf numFmtId="1" fontId="4" fillId="2" borderId="1" xfId="0" applyNumberFormat="1" applyFont="1" applyFill="1" applyBorder="1" applyAlignment="1">
      <alignment horizontal="center" vertical="center"/>
    </xf>
    <xf numFmtId="3" fontId="2" fillId="0" borderId="1" xfId="0" applyNumberFormat="1" applyFont="1" applyBorder="1" applyAlignment="1">
      <alignment horizontal="center" vertical="center"/>
    </xf>
    <xf numFmtId="3" fontId="3" fillId="5" borderId="1" xfId="0" applyNumberFormat="1" applyFont="1" applyFill="1" applyBorder="1" applyAlignment="1">
      <alignment vertical="center"/>
    </xf>
    <xf numFmtId="3" fontId="6" fillId="0" borderId="1" xfId="1" applyNumberFormat="1" applyFont="1" applyBorder="1" applyAlignment="1" applyProtection="1">
      <alignment horizontal="center" vertical="center"/>
      <protection locked="0"/>
    </xf>
    <xf numFmtId="3" fontId="6" fillId="0" borderId="1" xfId="0" applyNumberFormat="1" applyFont="1" applyBorder="1" applyAlignment="1">
      <alignment horizontal="center" vertical="center"/>
    </xf>
    <xf numFmtId="3" fontId="6" fillId="0" borderId="1" xfId="0" applyNumberFormat="1" applyFont="1" applyBorder="1" applyAlignment="1" applyProtection="1">
      <alignment horizontal="center" vertical="center"/>
      <protection locked="0"/>
    </xf>
    <xf numFmtId="0" fontId="5" fillId="4" borderId="1" xfId="0" applyFont="1" applyFill="1" applyBorder="1"/>
    <xf numFmtId="3" fontId="6" fillId="6" borderId="1" xfId="0" applyNumberFormat="1" applyFont="1" applyFill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4" fontId="6" fillId="0" borderId="1" xfId="1" applyNumberFormat="1" applyFont="1" applyBorder="1" applyAlignment="1" applyProtection="1">
      <alignment horizontal="center" vertical="center"/>
      <protection locked="0"/>
    </xf>
    <xf numFmtId="0" fontId="3" fillId="0" borderId="1" xfId="0" applyFont="1" applyBorder="1"/>
    <xf numFmtId="1" fontId="4" fillId="2" borderId="1" xfId="0" applyNumberFormat="1" applyFont="1" applyFill="1" applyBorder="1"/>
    <xf numFmtId="3" fontId="6" fillId="6" borderId="1" xfId="0" applyNumberFormat="1" applyFont="1" applyFill="1" applyBorder="1"/>
    <xf numFmtId="3" fontId="2" fillId="0" borderId="1" xfId="0" applyNumberFormat="1" applyFont="1" applyBorder="1"/>
    <xf numFmtId="3" fontId="6" fillId="0" borderId="1" xfId="0" applyNumberFormat="1" applyFont="1" applyBorder="1"/>
    <xf numFmtId="3" fontId="3" fillId="5" borderId="1" xfId="0" applyNumberFormat="1" applyFont="1" applyFill="1" applyBorder="1"/>
    <xf numFmtId="3" fontId="3" fillId="3" borderId="1" xfId="0" applyNumberFormat="1" applyFont="1" applyFill="1" applyBorder="1"/>
    <xf numFmtId="3" fontId="3" fillId="0" borderId="1" xfId="0" applyNumberFormat="1" applyFont="1" applyBorder="1"/>
    <xf numFmtId="3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N7"/>
  <sheetViews>
    <sheetView showGridLines="0" tabSelected="1" zoomScale="79" workbookViewId="0">
      <selection activeCell="C11" sqref="C11"/>
    </sheetView>
  </sheetViews>
  <sheetFormatPr defaultColWidth="8.77734375" defaultRowHeight="14.4" x14ac:dyDescent="0.3"/>
  <cols>
    <col min="1" max="1" width="20.77734375" customWidth="1"/>
  </cols>
  <sheetData>
    <row r="1" spans="1:14" ht="15.45" customHeight="1" x14ac:dyDescent="0.3">
      <c r="A1" s="9" t="s">
        <v>0</v>
      </c>
      <c r="B1" s="11" t="s">
        <v>1</v>
      </c>
      <c r="C1" s="3">
        <v>2023</v>
      </c>
      <c r="D1" s="3">
        <v>2024</v>
      </c>
      <c r="E1" s="3">
        <v>2025</v>
      </c>
      <c r="F1" s="3">
        <v>2026</v>
      </c>
      <c r="G1" s="3">
        <v>2027</v>
      </c>
      <c r="H1" s="3">
        <v>2028</v>
      </c>
      <c r="I1" s="3">
        <v>2029</v>
      </c>
      <c r="J1" s="3">
        <v>2030</v>
      </c>
      <c r="K1" s="3">
        <v>2031</v>
      </c>
      <c r="L1" s="3">
        <v>2032</v>
      </c>
      <c r="M1" s="3">
        <v>2033</v>
      </c>
      <c r="N1" s="3">
        <v>2034</v>
      </c>
    </row>
    <row r="2" spans="1:14" ht="15.45" customHeight="1" x14ac:dyDescent="0.3">
      <c r="A2" s="10" t="s">
        <v>2</v>
      </c>
      <c r="B2" s="4" t="s">
        <v>3</v>
      </c>
      <c r="C2" s="6">
        <v>302.34821758936607</v>
      </c>
      <c r="D2" s="6">
        <v>472.82056281608612</v>
      </c>
      <c r="E2" s="6">
        <v>689.58731616001501</v>
      </c>
      <c r="F2" s="6">
        <v>884.63746133328391</v>
      </c>
      <c r="G2" s="6">
        <v>1059.5477121450169</v>
      </c>
      <c r="H2" s="6">
        <v>1215.7938631938791</v>
      </c>
      <c r="I2" s="6">
        <v>1354.7568259066929</v>
      </c>
      <c r="J2" s="6">
        <v>1325.3309242680962</v>
      </c>
      <c r="K2" s="6">
        <v>1285.5593000248898</v>
      </c>
      <c r="L2" s="6">
        <v>1246.5701639765737</v>
      </c>
      <c r="M2" s="6">
        <v>1208.379178526907</v>
      </c>
      <c r="N2" s="6">
        <v>1170.9987400724997</v>
      </c>
    </row>
    <row r="3" spans="1:14" ht="15.45" customHeight="1" x14ac:dyDescent="0.3">
      <c r="A3" s="5" t="s">
        <v>4</v>
      </c>
      <c r="B3" s="4" t="s">
        <v>5</v>
      </c>
      <c r="C3" s="7" t="s">
        <v>5</v>
      </c>
      <c r="D3" s="7" t="s">
        <v>5</v>
      </c>
      <c r="E3" s="7" t="s">
        <v>5</v>
      </c>
      <c r="F3" s="7" t="s">
        <v>5</v>
      </c>
      <c r="G3" s="7" t="s">
        <v>5</v>
      </c>
      <c r="H3" s="7" t="s">
        <v>5</v>
      </c>
      <c r="I3" s="7" t="s">
        <v>5</v>
      </c>
      <c r="J3" s="7" t="s">
        <v>5</v>
      </c>
      <c r="K3" s="7" t="s">
        <v>5</v>
      </c>
      <c r="L3" s="7" t="s">
        <v>5</v>
      </c>
      <c r="M3" s="7" t="s">
        <v>5</v>
      </c>
      <c r="N3" s="7" t="s">
        <v>5</v>
      </c>
    </row>
    <row r="4" spans="1:14" ht="15.45" customHeight="1" x14ac:dyDescent="0.3">
      <c r="A4" s="1" t="s">
        <v>6</v>
      </c>
      <c r="B4" s="4" t="s">
        <v>7</v>
      </c>
      <c r="C4" s="12">
        <v>3.7061574501052901</v>
      </c>
      <c r="D4" s="12">
        <v>6.8218460227780451</v>
      </c>
      <c r="E4" s="12">
        <v>6.7914941063848682</v>
      </c>
      <c r="F4" s="12">
        <v>6.7614457091556233</v>
      </c>
      <c r="G4" s="12">
        <v>6.7316977958986719</v>
      </c>
      <c r="H4" s="12">
        <v>6.7022473617742886</v>
      </c>
      <c r="I4" s="12">
        <v>5.1604535600858767</v>
      </c>
      <c r="J4" s="12">
        <v>3.6292682825853202</v>
      </c>
      <c r="K4" s="12">
        <v>3.614333828012156</v>
      </c>
      <c r="L4" s="12">
        <v>3.5995487179847232</v>
      </c>
      <c r="M4" s="12">
        <v>3.5849114590575639</v>
      </c>
      <c r="N4" s="12">
        <v>3.491718583690385</v>
      </c>
    </row>
    <row r="5" spans="1:14" ht="15.45" customHeight="1" x14ac:dyDescent="0.3">
      <c r="A5" s="1" t="s">
        <v>8</v>
      </c>
      <c r="B5" s="4" t="s">
        <v>7</v>
      </c>
      <c r="C5" s="6">
        <v>0</v>
      </c>
      <c r="D5" s="6">
        <v>0</v>
      </c>
      <c r="E5" s="6">
        <v>0</v>
      </c>
      <c r="F5" s="6">
        <v>0</v>
      </c>
      <c r="G5" s="6">
        <v>0</v>
      </c>
      <c r="H5" s="6">
        <v>0</v>
      </c>
      <c r="I5" s="6">
        <v>0</v>
      </c>
      <c r="J5" s="6">
        <v>0</v>
      </c>
      <c r="K5" s="6">
        <v>0</v>
      </c>
      <c r="L5" s="6">
        <v>0</v>
      </c>
      <c r="M5" s="6">
        <v>0</v>
      </c>
      <c r="N5" s="6">
        <v>0</v>
      </c>
    </row>
    <row r="6" spans="1:14" ht="15.45" customHeight="1" x14ac:dyDescent="0.3">
      <c r="A6" s="2" t="s">
        <v>9</v>
      </c>
      <c r="B6" s="4" t="s">
        <v>7</v>
      </c>
      <c r="C6" s="6">
        <v>25.446861206886179</v>
      </c>
      <c r="D6" s="6">
        <v>42.107409535413588</v>
      </c>
      <c r="E6" s="6">
        <v>64.578078959019535</v>
      </c>
      <c r="F6" s="6">
        <v>86.958863217799674</v>
      </c>
      <c r="G6" s="6">
        <v>109.2511148262371</v>
      </c>
      <c r="H6" s="6">
        <v>131.45616823704151</v>
      </c>
      <c r="I6" s="6">
        <v>153.57534006713379</v>
      </c>
      <c r="J6" s="6">
        <v>157.46742999832881</v>
      </c>
      <c r="K6" s="6">
        <v>159.7189237155807</v>
      </c>
      <c r="L6" s="6">
        <v>161.9650122033525</v>
      </c>
      <c r="M6" s="6">
        <v>164.20579175598789</v>
      </c>
      <c r="N6" s="6">
        <v>166.44135728246701</v>
      </c>
    </row>
    <row r="7" spans="1:14" ht="15.45" customHeight="1" x14ac:dyDescent="0.3">
      <c r="A7" s="2" t="s">
        <v>10</v>
      </c>
      <c r="B7" s="4" t="s">
        <v>11</v>
      </c>
      <c r="C7" s="8">
        <v>15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8">
        <v>0</v>
      </c>
      <c r="N7" s="8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0"/>
  <sheetViews>
    <sheetView workbookViewId="0">
      <selection activeCell="D17" sqref="D17:O20"/>
    </sheetView>
  </sheetViews>
  <sheetFormatPr defaultRowHeight="14.4" x14ac:dyDescent="0.3"/>
  <cols>
    <col min="1" max="1" width="16.5546875" customWidth="1"/>
    <col min="2" max="2" width="25.44140625" customWidth="1"/>
  </cols>
  <sheetData>
    <row r="1" spans="1:15" ht="15.6" customHeight="1" x14ac:dyDescent="0.3">
      <c r="A1" s="9" t="s">
        <v>12</v>
      </c>
      <c r="B1" s="9" t="s">
        <v>0</v>
      </c>
      <c r="C1" s="13" t="s">
        <v>1</v>
      </c>
      <c r="D1" s="14">
        <v>2023</v>
      </c>
      <c r="E1" s="14">
        <v>2024</v>
      </c>
      <c r="F1" s="14">
        <v>2025</v>
      </c>
      <c r="G1" s="14">
        <v>2026</v>
      </c>
      <c r="H1" s="14">
        <v>2027</v>
      </c>
      <c r="I1" s="14">
        <v>2028</v>
      </c>
      <c r="J1" s="14">
        <v>2029</v>
      </c>
      <c r="K1" s="14">
        <v>2030</v>
      </c>
      <c r="L1" s="14">
        <v>2031</v>
      </c>
      <c r="M1" s="14">
        <v>2032</v>
      </c>
      <c r="N1" s="14">
        <v>2033</v>
      </c>
      <c r="O1" s="14">
        <v>2034</v>
      </c>
    </row>
    <row r="2" spans="1:15" ht="15.6" customHeight="1" x14ac:dyDescent="0.3">
      <c r="A2" s="15" t="s">
        <v>13</v>
      </c>
      <c r="B2" s="15" t="s">
        <v>2</v>
      </c>
      <c r="C2" s="16" t="s">
        <v>3</v>
      </c>
      <c r="D2" s="17">
        <v>1473.57</v>
      </c>
      <c r="E2" s="17">
        <v>1578.811990859263</v>
      </c>
      <c r="F2" s="17">
        <v>1718.6788955966861</v>
      </c>
      <c r="G2" s="17">
        <v>1846.1972481762789</v>
      </c>
      <c r="H2" s="17">
        <v>1962.0255223525</v>
      </c>
      <c r="I2" s="17">
        <v>2066.7774442519399</v>
      </c>
      <c r="J2" s="17">
        <v>2161.0415486784091</v>
      </c>
      <c r="K2" s="17">
        <v>2284.730747704994</v>
      </c>
      <c r="L2" s="17">
        <v>2397.7428447752459</v>
      </c>
      <c r="M2" s="17">
        <v>2499.0764179392718</v>
      </c>
      <c r="N2" s="17">
        <v>2877.083204946136</v>
      </c>
      <c r="O2" s="17">
        <v>2669.2744409505322</v>
      </c>
    </row>
    <row r="3" spans="1:15" ht="15.6" customHeight="1" x14ac:dyDescent="0.3">
      <c r="A3" s="18" t="s">
        <v>13</v>
      </c>
      <c r="B3" s="18" t="s">
        <v>4</v>
      </c>
      <c r="C3" s="16" t="s">
        <v>5</v>
      </c>
      <c r="D3" s="17" t="s">
        <v>5</v>
      </c>
      <c r="E3" s="17" t="s">
        <v>5</v>
      </c>
      <c r="F3" s="17" t="s">
        <v>5</v>
      </c>
      <c r="G3" s="17" t="s">
        <v>5</v>
      </c>
      <c r="H3" s="17" t="s">
        <v>5</v>
      </c>
      <c r="I3" s="17" t="s">
        <v>5</v>
      </c>
      <c r="J3" s="17" t="s">
        <v>5</v>
      </c>
      <c r="K3" s="17" t="s">
        <v>5</v>
      </c>
      <c r="L3" s="17" t="s">
        <v>5</v>
      </c>
      <c r="M3" s="17" t="s">
        <v>5</v>
      </c>
      <c r="N3" s="17" t="s">
        <v>5</v>
      </c>
      <c r="O3" s="17" t="s">
        <v>5</v>
      </c>
    </row>
    <row r="4" spans="1:15" ht="15.6" customHeight="1" x14ac:dyDescent="0.3">
      <c r="A4" s="19" t="s">
        <v>13</v>
      </c>
      <c r="B4" s="19" t="s">
        <v>6</v>
      </c>
      <c r="C4" s="16" t="s">
        <v>7</v>
      </c>
      <c r="D4" s="17">
        <v>242.20343364388691</v>
      </c>
      <c r="E4" s="17">
        <v>294.73837250546501</v>
      </c>
      <c r="F4" s="17">
        <v>291.79098878041032</v>
      </c>
      <c r="G4" s="17">
        <v>288.87307889260632</v>
      </c>
      <c r="H4" s="17">
        <v>285.98434810368019</v>
      </c>
      <c r="I4" s="17">
        <v>283.12450462264343</v>
      </c>
      <c r="J4" s="17">
        <v>340.66048875061671</v>
      </c>
      <c r="K4" s="17">
        <v>397.31851850437539</v>
      </c>
      <c r="L4" s="17">
        <v>393.34533331933159</v>
      </c>
      <c r="M4" s="17">
        <v>389.41187998613839</v>
      </c>
      <c r="N4" s="17">
        <v>385.51776118627703</v>
      </c>
      <c r="O4" s="17">
        <v>259.21521220393748</v>
      </c>
    </row>
    <row r="5" spans="1:15" ht="15.6" customHeight="1" x14ac:dyDescent="0.3">
      <c r="A5" s="19" t="s">
        <v>13</v>
      </c>
      <c r="B5" s="19" t="s">
        <v>8</v>
      </c>
      <c r="C5" s="16" t="s">
        <v>7</v>
      </c>
      <c r="D5" s="17">
        <v>-1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  <c r="M5" s="17">
        <v>0</v>
      </c>
      <c r="N5" s="17">
        <v>0</v>
      </c>
      <c r="O5" s="17">
        <v>0</v>
      </c>
    </row>
    <row r="6" spans="1:15" ht="15.6" customHeight="1" x14ac:dyDescent="0.3">
      <c r="A6" s="19" t="s">
        <v>13</v>
      </c>
      <c r="B6" s="20" t="s">
        <v>9</v>
      </c>
      <c r="C6" s="16" t="s">
        <v>7</v>
      </c>
      <c r="D6" s="17">
        <v>48.200895624679923</v>
      </c>
      <c r="E6" s="17">
        <v>53.306957908509943</v>
      </c>
      <c r="F6" s="17">
        <v>59.61987738863688</v>
      </c>
      <c r="G6" s="17">
        <v>65.801207783370444</v>
      </c>
      <c r="H6" s="17">
        <v>71.852949582470472</v>
      </c>
      <c r="I6" s="17">
        <v>77.777076424810161</v>
      </c>
      <c r="J6" s="17">
        <v>83.575535435344804</v>
      </c>
      <c r="K6" s="17">
        <v>92.572763821943681</v>
      </c>
      <c r="L6" s="17">
        <v>101.4170548475285</v>
      </c>
      <c r="M6" s="17">
        <v>110.0752027762195</v>
      </c>
      <c r="N6" s="17">
        <v>118.5500460408519</v>
      </c>
      <c r="O6" s="17">
        <v>126.84438491991401</v>
      </c>
    </row>
    <row r="7" spans="1:15" ht="15.6" customHeight="1" x14ac:dyDescent="0.3">
      <c r="A7" s="19" t="s">
        <v>13</v>
      </c>
      <c r="B7" s="20" t="s">
        <v>10</v>
      </c>
      <c r="C7" s="16" t="s">
        <v>11</v>
      </c>
      <c r="D7" s="17">
        <v>35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</row>
    <row r="8" spans="1:15" ht="15.6" customHeight="1" x14ac:dyDescent="0.3">
      <c r="A8" s="15" t="s">
        <v>14</v>
      </c>
      <c r="B8" s="15" t="s">
        <v>2</v>
      </c>
      <c r="C8" s="16" t="s">
        <v>3</v>
      </c>
      <c r="D8" s="17">
        <v>368.39</v>
      </c>
      <c r="E8" s="17">
        <v>370.33753016871327</v>
      </c>
      <c r="F8" s="17">
        <v>377.27378229508508</v>
      </c>
      <c r="G8" s="17">
        <v>378.13746860574457</v>
      </c>
      <c r="H8" s="17">
        <v>373.72003625751489</v>
      </c>
      <c r="I8" s="17">
        <v>364.72869489639811</v>
      </c>
      <c r="J8" s="17">
        <v>351.79575484275489</v>
      </c>
      <c r="K8" s="17">
        <v>341.39331608146801</v>
      </c>
      <c r="L8" s="17">
        <v>326.96452357245909</v>
      </c>
      <c r="M8" s="17">
        <v>308.87773742969631</v>
      </c>
      <c r="N8" s="17">
        <v>287.7083204946137</v>
      </c>
      <c r="O8" s="17">
        <v>263.99134093992279</v>
      </c>
    </row>
    <row r="9" spans="1:15" ht="15.6" customHeight="1" x14ac:dyDescent="0.3">
      <c r="A9" s="18" t="s">
        <v>15</v>
      </c>
      <c r="B9" s="18" t="s">
        <v>4</v>
      </c>
      <c r="C9" s="16" t="s">
        <v>5</v>
      </c>
      <c r="D9" s="17" t="s">
        <v>5</v>
      </c>
      <c r="E9" s="17" t="s">
        <v>5</v>
      </c>
      <c r="F9" s="17" t="s">
        <v>5</v>
      </c>
      <c r="G9" s="17" t="s">
        <v>5</v>
      </c>
      <c r="H9" s="17" t="s">
        <v>5</v>
      </c>
      <c r="I9" s="17" t="s">
        <v>5</v>
      </c>
      <c r="J9" s="17" t="s">
        <v>5</v>
      </c>
      <c r="K9" s="17" t="s">
        <v>5</v>
      </c>
      <c r="L9" s="17" t="s">
        <v>5</v>
      </c>
      <c r="M9" s="17" t="s">
        <v>5</v>
      </c>
      <c r="N9" s="17" t="s">
        <v>5</v>
      </c>
      <c r="O9" s="17" t="s">
        <v>5</v>
      </c>
    </row>
    <row r="10" spans="1:15" ht="15.6" customHeight="1" x14ac:dyDescent="0.3">
      <c r="A10" s="19" t="s">
        <v>14</v>
      </c>
      <c r="B10" s="19" t="s">
        <v>6</v>
      </c>
      <c r="C10" s="16" t="s">
        <v>7</v>
      </c>
      <c r="D10" s="17">
        <v>39.205330206123087</v>
      </c>
      <c r="E10" s="17">
        <v>49.668032575083508</v>
      </c>
      <c r="F10" s="17">
        <v>49.171352249332671</v>
      </c>
      <c r="G10" s="17">
        <v>48.679638726839343</v>
      </c>
      <c r="H10" s="17">
        <v>48.192842339570959</v>
      </c>
      <c r="I10" s="17">
        <v>47.710913916175251</v>
      </c>
      <c r="J10" s="17">
        <v>17.376452862793499</v>
      </c>
      <c r="K10" s="17">
        <v>-12.50500172575464</v>
      </c>
      <c r="L10" s="17">
        <v>-12.37995170849709</v>
      </c>
      <c r="M10" s="17">
        <v>-12.25615219141212</v>
      </c>
      <c r="N10" s="17">
        <v>-12.133590669498</v>
      </c>
      <c r="O10" s="17">
        <v>0.92310422769778055</v>
      </c>
    </row>
    <row r="11" spans="1:15" ht="15.6" customHeight="1" x14ac:dyDescent="0.3">
      <c r="A11" s="19" t="s">
        <v>14</v>
      </c>
      <c r="B11" s="19" t="s">
        <v>8</v>
      </c>
      <c r="C11" s="16" t="s">
        <v>7</v>
      </c>
      <c r="D11" s="17">
        <v>0</v>
      </c>
      <c r="E11" s="17">
        <v>0</v>
      </c>
      <c r="F11" s="17">
        <v>0</v>
      </c>
      <c r="G11" s="17">
        <v>0</v>
      </c>
      <c r="H11" s="17">
        <v>0</v>
      </c>
      <c r="I11" s="17">
        <v>0</v>
      </c>
      <c r="J11" s="17">
        <v>0</v>
      </c>
      <c r="K11" s="17">
        <v>0</v>
      </c>
      <c r="L11" s="17">
        <v>0</v>
      </c>
      <c r="M11" s="17">
        <v>0</v>
      </c>
      <c r="N11" s="17">
        <v>0</v>
      </c>
      <c r="O11" s="17">
        <v>0</v>
      </c>
    </row>
    <row r="12" spans="1:15" ht="15.6" customHeight="1" x14ac:dyDescent="0.3">
      <c r="A12" s="19" t="s">
        <v>14</v>
      </c>
      <c r="B12" s="20" t="s">
        <v>9</v>
      </c>
      <c r="C12" s="16" t="s">
        <v>7</v>
      </c>
      <c r="D12" s="17">
        <v>56.13416700255231</v>
      </c>
      <c r="E12" s="17">
        <v>63.132199289871558</v>
      </c>
      <c r="F12" s="17">
        <v>71.774508808276124</v>
      </c>
      <c r="G12" s="17">
        <v>80.237658916383623</v>
      </c>
      <c r="H12" s="17">
        <v>88.52436857144815</v>
      </c>
      <c r="I12" s="17">
        <v>96.637320267519755</v>
      </c>
      <c r="J12" s="17">
        <v>104.5791604928127</v>
      </c>
      <c r="K12" s="17">
        <v>103.34110520080409</v>
      </c>
      <c r="L12" s="17">
        <v>98.260818727933412</v>
      </c>
      <c r="M12" s="17">
        <v>93.271803874000057</v>
      </c>
      <c r="N12" s="17">
        <v>88.372743235272566</v>
      </c>
      <c r="O12" s="17">
        <v>83.562336628932229</v>
      </c>
    </row>
    <row r="13" spans="1:15" ht="15.6" customHeight="1" x14ac:dyDescent="0.3">
      <c r="A13" s="19" t="s">
        <v>14</v>
      </c>
      <c r="B13" s="20" t="s">
        <v>10</v>
      </c>
      <c r="C13" s="16" t="s">
        <v>11</v>
      </c>
      <c r="D13" s="17">
        <v>25</v>
      </c>
      <c r="E13" s="17">
        <v>0</v>
      </c>
      <c r="F13" s="17">
        <v>0</v>
      </c>
      <c r="G13" s="17">
        <v>0</v>
      </c>
      <c r="H13" s="17">
        <v>0</v>
      </c>
      <c r="I13" s="17">
        <v>0</v>
      </c>
      <c r="J13" s="17">
        <v>0</v>
      </c>
      <c r="K13" s="17">
        <v>0</v>
      </c>
      <c r="L13" s="17">
        <v>0</v>
      </c>
      <c r="M13" s="17">
        <v>0</v>
      </c>
      <c r="N13" s="17">
        <v>0</v>
      </c>
      <c r="O13" s="17">
        <v>0</v>
      </c>
    </row>
    <row r="17" spans="4:15" x14ac:dyDescent="0.3">
      <c r="D17">
        <v>276.29508993411883</v>
      </c>
      <c r="E17">
        <v>306.99202155832972</v>
      </c>
      <c r="F17">
        <v>346.61709868855462</v>
      </c>
      <c r="G17">
        <v>386.24217581877951</v>
      </c>
      <c r="H17">
        <v>425.86725294900441</v>
      </c>
      <c r="I17">
        <v>465.4923300792293</v>
      </c>
      <c r="J17">
        <v>505.1174072094542</v>
      </c>
      <c r="K17">
        <v>554.28374073358623</v>
      </c>
      <c r="L17">
        <v>603.84576085779486</v>
      </c>
      <c r="M17">
        <v>653.40778098200349</v>
      </c>
      <c r="N17">
        <v>702.96980110621212</v>
      </c>
      <c r="O17">
        <v>752.53182123042075</v>
      </c>
    </row>
    <row r="18" spans="4:15" x14ac:dyDescent="0.3">
      <c r="D18">
        <v>0.15</v>
      </c>
      <c r="E18">
        <f>D18*1.05</f>
        <v>0.1575</v>
      </c>
      <c r="F18">
        <f t="shared" ref="F18:O18" si="0">E18*1.05</f>
        <v>0.16537500000000002</v>
      </c>
      <c r="G18">
        <f t="shared" si="0"/>
        <v>0.17364375000000004</v>
      </c>
      <c r="H18">
        <f t="shared" si="0"/>
        <v>0.18232593750000006</v>
      </c>
      <c r="I18">
        <f t="shared" si="0"/>
        <v>0.19144223437500008</v>
      </c>
      <c r="J18">
        <f t="shared" si="0"/>
        <v>0.2010143460937501</v>
      </c>
      <c r="K18">
        <f t="shared" si="0"/>
        <v>0.21106506339843761</v>
      </c>
      <c r="L18">
        <f t="shared" si="0"/>
        <v>0.22161831656835951</v>
      </c>
      <c r="M18">
        <f t="shared" si="0"/>
        <v>0.23269923239677751</v>
      </c>
      <c r="N18">
        <f t="shared" si="0"/>
        <v>0.24433419401661638</v>
      </c>
      <c r="O18">
        <f t="shared" si="0"/>
        <v>0.25655090371744721</v>
      </c>
    </row>
    <row r="19" spans="4:15" x14ac:dyDescent="0.3">
      <c r="D19">
        <f>D17/D18</f>
        <v>1841.967266227459</v>
      </c>
      <c r="E19">
        <f t="shared" ref="E19:O19" si="1">E17/E18</f>
        <v>1949.1556924338395</v>
      </c>
      <c r="F19">
        <f t="shared" si="1"/>
        <v>2095.9461749874804</v>
      </c>
      <c r="G19">
        <f t="shared" si="1"/>
        <v>2224.336757405777</v>
      </c>
      <c r="H19">
        <f t="shared" si="1"/>
        <v>2335.7469528931078</v>
      </c>
      <c r="I19">
        <f t="shared" si="1"/>
        <v>2431.5028060496597</v>
      </c>
      <c r="J19">
        <f t="shared" si="1"/>
        <v>2512.842575792451</v>
      </c>
      <c r="K19">
        <f t="shared" si="1"/>
        <v>2626.1273742269618</v>
      </c>
      <c r="L19">
        <f t="shared" si="1"/>
        <v>2724.710530284779</v>
      </c>
      <c r="M19">
        <f t="shared" si="1"/>
        <v>2807.9498769805659</v>
      </c>
      <c r="N19">
        <f t="shared" si="1"/>
        <v>2877.0831849200995</v>
      </c>
      <c r="O19">
        <f t="shared" si="1"/>
        <v>2933.2651350128276</v>
      </c>
    </row>
    <row r="20" spans="4:15" x14ac:dyDescent="0.3">
      <c r="D20" s="21">
        <f>D19-D8</f>
        <v>1473.5772662274589</v>
      </c>
      <c r="E20" s="21">
        <f t="shared" ref="E20:O20" si="2">E19-E8</f>
        <v>1578.8181622651261</v>
      </c>
      <c r="F20" s="21">
        <f t="shared" si="2"/>
        <v>1718.6723926923953</v>
      </c>
      <c r="G20" s="21">
        <f t="shared" si="2"/>
        <v>1846.1992888000325</v>
      </c>
      <c r="H20" s="21">
        <f t="shared" si="2"/>
        <v>1962.0269166355929</v>
      </c>
      <c r="I20" s="21">
        <f t="shared" si="2"/>
        <v>2066.7741111532614</v>
      </c>
      <c r="J20" s="21">
        <f t="shared" si="2"/>
        <v>2161.0468209496962</v>
      </c>
      <c r="K20" s="21">
        <f t="shared" si="2"/>
        <v>2284.7340581454937</v>
      </c>
      <c r="L20" s="21">
        <f t="shared" si="2"/>
        <v>2397.7460067123197</v>
      </c>
      <c r="M20" s="21">
        <f t="shared" si="2"/>
        <v>2499.0721395508695</v>
      </c>
      <c r="N20" s="21">
        <f t="shared" si="2"/>
        <v>2589.3748644254856</v>
      </c>
      <c r="O20" s="21">
        <f t="shared" si="2"/>
        <v>2669.2737940729048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21"/>
  <sheetViews>
    <sheetView workbookViewId="0">
      <selection activeCell="D17" sqref="D17"/>
    </sheetView>
  </sheetViews>
  <sheetFormatPr defaultRowHeight="14.4" x14ac:dyDescent="0.3"/>
  <cols>
    <col min="1" max="1" width="16.5546875" customWidth="1"/>
    <col min="2" max="2" width="25.44140625" customWidth="1"/>
  </cols>
  <sheetData>
    <row r="1" spans="1:15" ht="15.6" customHeight="1" x14ac:dyDescent="0.3">
      <c r="A1" s="9" t="s">
        <v>12</v>
      </c>
      <c r="B1" s="9" t="s">
        <v>0</v>
      </c>
      <c r="C1" s="13" t="s">
        <v>1</v>
      </c>
      <c r="D1" s="14">
        <v>2023</v>
      </c>
      <c r="E1" s="14">
        <v>2024</v>
      </c>
      <c r="F1" s="14">
        <v>2025</v>
      </c>
      <c r="G1" s="14">
        <v>2026</v>
      </c>
      <c r="H1" s="14">
        <v>2027</v>
      </c>
      <c r="I1" s="14">
        <v>2028</v>
      </c>
      <c r="J1" s="14">
        <v>2029</v>
      </c>
      <c r="K1" s="14">
        <v>2030</v>
      </c>
      <c r="L1" s="14">
        <v>2031</v>
      </c>
      <c r="M1" s="14">
        <v>2032</v>
      </c>
      <c r="N1" s="14">
        <v>2033</v>
      </c>
      <c r="O1" s="14">
        <v>2034</v>
      </c>
    </row>
    <row r="2" spans="1:15" ht="15.6" customHeight="1" x14ac:dyDescent="0.3">
      <c r="A2" s="15" t="s">
        <v>13</v>
      </c>
      <c r="B2" s="15" t="s">
        <v>2</v>
      </c>
      <c r="C2" s="16" t="s">
        <v>3</v>
      </c>
      <c r="D2" s="17">
        <v>1442.594335096599</v>
      </c>
      <c r="E2" s="17">
        <v>1504.7098375412431</v>
      </c>
      <c r="F2" s="17">
        <v>1599.3683416081531</v>
      </c>
      <c r="G2" s="17">
        <v>1686.1719123347032</v>
      </c>
      <c r="H2" s="17">
        <v>1765.425157458315</v>
      </c>
      <c r="I2" s="17">
        <v>1837.4441176775651</v>
      </c>
      <c r="J2" s="17">
        <v>1902.5513768483956</v>
      </c>
      <c r="K2" s="17">
        <v>1964.3279644925028</v>
      </c>
      <c r="L2" s="17">
        <v>2022.7853983607677</v>
      </c>
      <c r="M2" s="17">
        <v>2075.4792289973379</v>
      </c>
      <c r="N2" s="17">
        <v>2122.6315503113228</v>
      </c>
      <c r="O2" s="17">
        <v>2164.4501667838258</v>
      </c>
    </row>
    <row r="3" spans="1:15" ht="15.6" customHeight="1" x14ac:dyDescent="0.3">
      <c r="A3" s="18" t="s">
        <v>13</v>
      </c>
      <c r="B3" s="18" t="s">
        <v>4</v>
      </c>
      <c r="C3" s="16" t="s">
        <v>5</v>
      </c>
      <c r="D3" s="17" t="s">
        <v>5</v>
      </c>
      <c r="E3" s="17" t="s">
        <v>5</v>
      </c>
      <c r="F3" s="17" t="s">
        <v>5</v>
      </c>
      <c r="G3" s="17" t="s">
        <v>5</v>
      </c>
      <c r="H3" s="17" t="s">
        <v>5</v>
      </c>
      <c r="I3" s="17" t="s">
        <v>5</v>
      </c>
      <c r="J3" s="17" t="s">
        <v>5</v>
      </c>
      <c r="K3" s="17" t="s">
        <v>5</v>
      </c>
      <c r="L3" s="17" t="s">
        <v>5</v>
      </c>
      <c r="M3" s="17" t="s">
        <v>5</v>
      </c>
      <c r="N3" s="17" t="s">
        <v>5</v>
      </c>
      <c r="O3" s="17" t="s">
        <v>5</v>
      </c>
    </row>
    <row r="4" spans="1:15" ht="15.6" customHeight="1" x14ac:dyDescent="0.3">
      <c r="A4" s="19" t="s">
        <v>13</v>
      </c>
      <c r="B4" s="19" t="s">
        <v>6</v>
      </c>
      <c r="C4" s="16" t="s">
        <v>7</v>
      </c>
      <c r="D4" s="17">
        <v>214.80705532108951</v>
      </c>
      <c r="E4" s="17">
        <v>248.02087135536601</v>
      </c>
      <c r="F4" s="17">
        <v>245.5406626418123</v>
      </c>
      <c r="G4" s="17">
        <v>243.08525601539421</v>
      </c>
      <c r="H4" s="17">
        <v>240.6544034552403</v>
      </c>
      <c r="I4" s="17">
        <v>238.24785942068789</v>
      </c>
      <c r="J4" s="17">
        <v>273.93042054983658</v>
      </c>
      <c r="K4" s="17">
        <v>309.06535266204162</v>
      </c>
      <c r="L4" s="17">
        <v>305.97469913542108</v>
      </c>
      <c r="M4" s="17">
        <v>302.914952144067</v>
      </c>
      <c r="N4" s="17">
        <v>299.88580262262627</v>
      </c>
      <c r="O4" s="17">
        <v>206.37168612567399</v>
      </c>
    </row>
    <row r="5" spans="1:15" ht="15.6" customHeight="1" x14ac:dyDescent="0.3">
      <c r="A5" s="19" t="s">
        <v>13</v>
      </c>
      <c r="B5" s="19" t="s">
        <v>8</v>
      </c>
      <c r="C5" s="16" t="s">
        <v>7</v>
      </c>
      <c r="D5" s="17">
        <v>-1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  <c r="M5" s="17">
        <v>0</v>
      </c>
      <c r="N5" s="17">
        <v>0</v>
      </c>
      <c r="O5" s="17">
        <v>0</v>
      </c>
    </row>
    <row r="6" spans="1:15" ht="15.6" customHeight="1" x14ac:dyDescent="0.3">
      <c r="A6" s="19" t="s">
        <v>13</v>
      </c>
      <c r="B6" s="20" t="s">
        <v>9</v>
      </c>
      <c r="C6" s="16" t="s">
        <v>7</v>
      </c>
      <c r="D6" s="17">
        <v>46.183735642510577</v>
      </c>
      <c r="E6" s="17">
        <v>49.262932466549231</v>
      </c>
      <c r="F6" s="17">
        <v>53.45734619153793</v>
      </c>
      <c r="G6" s="17">
        <v>57.562945348780218</v>
      </c>
      <c r="H6" s="17">
        <v>61.581086788258503</v>
      </c>
      <c r="I6" s="17">
        <v>65.513109104412337</v>
      </c>
      <c r="J6" s="17">
        <v>69.360332865564274</v>
      </c>
      <c r="K6" s="17">
        <v>77.455750538995858</v>
      </c>
      <c r="L6" s="17">
        <v>86.42268175129648</v>
      </c>
      <c r="M6" s="17">
        <v>95.202528764297199</v>
      </c>
      <c r="N6" s="17">
        <v>103.7981365688628</v>
      </c>
      <c r="O6" s="17">
        <v>112.2123119644606</v>
      </c>
    </row>
    <row r="7" spans="1:15" ht="15.6" customHeight="1" x14ac:dyDescent="0.3">
      <c r="A7" s="19" t="s">
        <v>13</v>
      </c>
      <c r="B7" s="20" t="s">
        <v>10</v>
      </c>
      <c r="C7" s="16" t="s">
        <v>11</v>
      </c>
      <c r="D7" s="17">
        <v>35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</row>
    <row r="8" spans="1:15" ht="15.6" customHeight="1" x14ac:dyDescent="0.3">
      <c r="A8" s="15" t="s">
        <v>14</v>
      </c>
      <c r="B8" s="15" t="s">
        <v>2</v>
      </c>
      <c r="C8" s="16" t="s">
        <v>3</v>
      </c>
      <c r="D8" s="17">
        <v>368.39</v>
      </c>
      <c r="E8" s="17">
        <v>370.33753016871327</v>
      </c>
      <c r="F8" s="17">
        <v>377.27378229508508</v>
      </c>
      <c r="G8" s="17">
        <v>378.13746860574457</v>
      </c>
      <c r="H8" s="17">
        <v>373.72003625751489</v>
      </c>
      <c r="I8" s="17">
        <v>364.72869489639811</v>
      </c>
      <c r="J8" s="17">
        <v>351.79575484275489</v>
      </c>
      <c r="K8" s="17">
        <v>341.39331608146801</v>
      </c>
      <c r="L8" s="17">
        <v>326.96452357245909</v>
      </c>
      <c r="M8" s="17">
        <v>308.87773742969631</v>
      </c>
      <c r="N8" s="17">
        <v>287.7083204946137</v>
      </c>
      <c r="O8" s="17">
        <v>263.99134093992279</v>
      </c>
    </row>
    <row r="9" spans="1:15" ht="15.6" customHeight="1" x14ac:dyDescent="0.3">
      <c r="A9" s="18" t="s">
        <v>15</v>
      </c>
      <c r="B9" s="18" t="s">
        <v>4</v>
      </c>
      <c r="C9" s="16" t="s">
        <v>5</v>
      </c>
      <c r="D9" s="17" t="s">
        <v>5</v>
      </c>
      <c r="E9" s="17" t="s">
        <v>5</v>
      </c>
      <c r="F9" s="17" t="s">
        <v>5</v>
      </c>
      <c r="G9" s="17" t="s">
        <v>5</v>
      </c>
      <c r="H9" s="17" t="s">
        <v>5</v>
      </c>
      <c r="I9" s="17" t="s">
        <v>5</v>
      </c>
      <c r="J9" s="17" t="s">
        <v>5</v>
      </c>
      <c r="K9" s="17" t="s">
        <v>5</v>
      </c>
      <c r="L9" s="17" t="s">
        <v>5</v>
      </c>
      <c r="M9" s="17" t="s">
        <v>5</v>
      </c>
      <c r="N9" s="17" t="s">
        <v>5</v>
      </c>
      <c r="O9" s="17" t="s">
        <v>5</v>
      </c>
    </row>
    <row r="10" spans="1:15" ht="15.6" customHeight="1" x14ac:dyDescent="0.3">
      <c r="A10" s="19" t="s">
        <v>14</v>
      </c>
      <c r="B10" s="19" t="s">
        <v>6</v>
      </c>
      <c r="C10" s="16" t="s">
        <v>7</v>
      </c>
      <c r="D10" s="17">
        <v>39.205330206123087</v>
      </c>
      <c r="E10" s="17">
        <v>49.668032575083508</v>
      </c>
      <c r="F10" s="17">
        <v>49.171352249332671</v>
      </c>
      <c r="G10" s="17">
        <v>48.679638726839343</v>
      </c>
      <c r="H10" s="17">
        <v>48.192842339570959</v>
      </c>
      <c r="I10" s="17">
        <v>47.710913916175251</v>
      </c>
      <c r="J10" s="17">
        <v>17.376452862793499</v>
      </c>
      <c r="K10" s="17">
        <v>-12.50500172575464</v>
      </c>
      <c r="L10" s="17">
        <v>-12.37995170849709</v>
      </c>
      <c r="M10" s="17">
        <v>-12.25615219141212</v>
      </c>
      <c r="N10" s="17">
        <v>-12.133590669498</v>
      </c>
      <c r="O10" s="17">
        <v>0.92310422769778055</v>
      </c>
    </row>
    <row r="11" spans="1:15" ht="15.6" customHeight="1" x14ac:dyDescent="0.3">
      <c r="A11" s="19" t="s">
        <v>14</v>
      </c>
      <c r="B11" s="19" t="s">
        <v>8</v>
      </c>
      <c r="C11" s="16" t="s">
        <v>7</v>
      </c>
      <c r="D11" s="17">
        <v>0</v>
      </c>
      <c r="E11" s="17">
        <v>0</v>
      </c>
      <c r="F11" s="17">
        <v>0</v>
      </c>
      <c r="G11" s="17">
        <v>0</v>
      </c>
      <c r="H11" s="17">
        <v>0</v>
      </c>
      <c r="I11" s="17">
        <v>0</v>
      </c>
      <c r="J11" s="17">
        <v>0</v>
      </c>
      <c r="K11" s="17">
        <v>0</v>
      </c>
      <c r="L11" s="17">
        <v>0</v>
      </c>
      <c r="M11" s="17">
        <v>0</v>
      </c>
      <c r="N11" s="17">
        <v>0</v>
      </c>
      <c r="O11" s="17">
        <v>0</v>
      </c>
    </row>
    <row r="12" spans="1:15" ht="15.6" customHeight="1" x14ac:dyDescent="0.3">
      <c r="A12" s="19" t="s">
        <v>14</v>
      </c>
      <c r="B12" s="20" t="s">
        <v>9</v>
      </c>
      <c r="C12" s="16" t="s">
        <v>7</v>
      </c>
      <c r="D12" s="17">
        <v>56.13416700255231</v>
      </c>
      <c r="E12" s="17">
        <v>63.132199289871558</v>
      </c>
      <c r="F12" s="17">
        <v>71.774508808276124</v>
      </c>
      <c r="G12" s="17">
        <v>80.237658916383623</v>
      </c>
      <c r="H12" s="17">
        <v>88.52436857144815</v>
      </c>
      <c r="I12" s="17">
        <v>96.637320267519755</v>
      </c>
      <c r="J12" s="17">
        <v>104.5791604928127</v>
      </c>
      <c r="K12" s="17">
        <v>103.34110520080409</v>
      </c>
      <c r="L12" s="17">
        <v>98.260818727933412</v>
      </c>
      <c r="M12" s="17">
        <v>93.271803874000057</v>
      </c>
      <c r="N12" s="17">
        <v>88.372743235272566</v>
      </c>
      <c r="O12" s="17">
        <v>83.562336628932229</v>
      </c>
    </row>
    <row r="13" spans="1:15" ht="15.6" customHeight="1" x14ac:dyDescent="0.3">
      <c r="A13" s="19" t="s">
        <v>14</v>
      </c>
      <c r="B13" s="20" t="s">
        <v>10</v>
      </c>
      <c r="C13" s="16" t="s">
        <v>11</v>
      </c>
      <c r="D13" s="17">
        <v>25</v>
      </c>
      <c r="E13" s="17">
        <v>0</v>
      </c>
      <c r="F13" s="17">
        <v>0</v>
      </c>
      <c r="G13" s="17">
        <v>0</v>
      </c>
      <c r="H13" s="17">
        <v>0</v>
      </c>
      <c r="I13" s="17">
        <v>0</v>
      </c>
      <c r="J13" s="17">
        <v>0</v>
      </c>
      <c r="K13" s="17">
        <v>0</v>
      </c>
      <c r="L13" s="17">
        <v>0</v>
      </c>
      <c r="M13" s="17">
        <v>0</v>
      </c>
      <c r="N13" s="17">
        <v>0</v>
      </c>
      <c r="O13" s="17">
        <v>0</v>
      </c>
    </row>
    <row r="21" spans="4:15" x14ac:dyDescent="0.3"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LPG</vt:lpstr>
      <vt:lpstr>Electricity &amp; E-Cooking</vt:lpstr>
      <vt:lpstr>Electricity (Low access)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Almudena Garrido</dc:creator>
  <cp:lastModifiedBy>Pablo Dueñas Martínez</cp:lastModifiedBy>
  <dcterms:created xsi:type="dcterms:W3CDTF">2015-06-05T18:17:20Z</dcterms:created>
  <dcterms:modified xsi:type="dcterms:W3CDTF">2026-01-18T17:52:39Z</dcterms:modified>
</cp:coreProperties>
</file>